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nis\OneDrive\Рабочий стол\Лабы антонов\Лаба 1\"/>
    </mc:Choice>
  </mc:AlternateContent>
  <xr:revisionPtr revIDLastSave="0" documentId="13_ncr:1_{A9D332A7-EE5F-4FA7-A8A0-73A69BCBD097}" xr6:coauthVersionLast="47" xr6:coauthVersionMax="47" xr10:uidLastSave="{00000000-0000-0000-0000-000000000000}"/>
  <bookViews>
    <workbookView xWindow="4125" yWindow="2700" windowWidth="24120" windowHeight="11505" activeTab="2" xr2:uid="{00000000-000D-0000-FFFF-FFFF00000000}"/>
  </bookViews>
  <sheets>
    <sheet name="Результаты" sheetId="1" r:id="rId1"/>
    <sheet name="Данные" sheetId="2" r:id="rId2"/>
    <sheet name="Графики" sheetId="3" r:id="rId3"/>
    <sheet name="Выводы" sheetId="4" r:id="rId4"/>
  </sheets>
  <calcPr calcId="0"/>
</workbook>
</file>

<file path=xl/sharedStrings.xml><?xml version="1.0" encoding="utf-8"?>
<sst xmlns="http://schemas.openxmlformats.org/spreadsheetml/2006/main" count="63" uniqueCount="37">
  <si>
    <t>Лабораторная работа №1 — параллельное численное интегрирование</t>
  </si>
  <si>
    <t>N</t>
  </si>
  <si>
    <t>Потоки</t>
  </si>
  <si>
    <t>Время (медиана), с</t>
  </si>
  <si>
    <t>Мин. время, с</t>
  </si>
  <si>
    <t>Ускорение</t>
  </si>
  <si>
    <t>Эффективность, %</t>
  </si>
  <si>
    <t>Корректность</t>
  </si>
  <si>
    <t>посл.</t>
  </si>
  <si>
    <t>OK</t>
  </si>
  <si>
    <t>Время, N=10 000 000</t>
  </si>
  <si>
    <t>Время, N=100 000 000</t>
  </si>
  <si>
    <t>Время, N=1 000 000 000</t>
  </si>
  <si>
    <t>Ускорение, N=10 000 000</t>
  </si>
  <si>
    <t>Ускорение, N=100 000 000</t>
  </si>
  <si>
    <t>Ускорение, N=1 000 000 000</t>
  </si>
  <si>
    <t>Эффективность, N=10 000 000</t>
  </si>
  <si>
    <t>Эффективность, N=100 000 000</t>
  </si>
  <si>
    <t>Эффективность, N=1 000 000 000</t>
  </si>
  <si>
    <t>Идеальное ускорение</t>
  </si>
  <si>
    <t>Идеальная эффективность, %</t>
  </si>
  <si>
    <t>Выводы</t>
  </si>
  <si>
    <t>Число логических процессоров машины</t>
  </si>
  <si>
    <t>Вопрос 1. Как меняется время с ростом потоков?</t>
  </si>
  <si>
    <t>Время уменьшается при увеличении числа потоков до ~16, затем выходит на плато (дальнейшего выигрыша нет).</t>
  </si>
  <si>
    <t>Вопрос 2. Всегда ли рост потоков уменьшает время?</t>
  </si>
  <si>
    <t>Нет. Например, N=100 000 000: 16 потоков -&gt; 0.0947 с, 32 -&gt; 0.1038 с, 64 -&gt; 0.1122 с — время растёт.</t>
  </si>
  <si>
    <t>Вопрос 3. Почему ускорение меньше числа потоков?</t>
  </si>
  <si>
    <t>Из-за накладных расходов на создание/планирование потоков, объединение частичных сумм и неидеального баланса нагрузки.</t>
  </si>
  <si>
    <t>Вопрос 4. Почему после некоторого числа потоков выигрыш пропадает?</t>
  </si>
  <si>
    <t>Ограничены физические ядра (16); рост переключений контекста, накладных расходов и влияние других процессов.</t>
  </si>
  <si>
    <t>Вопрос 5. Совпадает ли оптимум с числом логических CPU?</t>
  </si>
  <si>
    <t>Да: минимум времени достигается при 16 потоках, что равно числу логических процессоров (16).</t>
  </si>
  <si>
    <t>Вопрос 6. Что будет при увеличении N?</t>
  </si>
  <si>
    <t>Абсолютное время растёт, но доля накладных расходов падает, поэтому эффективность распараллеливания обычно выше.</t>
  </si>
  <si>
    <t>Доп. вопрос. Почему размер задачи меняет эффективность?</t>
  </si>
  <si>
    <t>Крупная задача лучше амортизирует фиксированные накладные расходы: при N=1e9 на 8 потоках E=71.4% против 67.0% при N=1e8; на малом N=1e7 накладные расходы заметнее.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</si>
</sst>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0" fontId="2" fillId="2" borderId="0" xfId="0" applyFont="1" applyFill="1" applyAlignment="1">
      <alignment horizontal="center" wrapText="1"/>
    </xf>
    <xf numFmtId="1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ru-RU"/>
              <a:t>Время выполнения от количества потоков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7985762053715898E-2"/>
          <c:y val="4.3519135802469133E-2"/>
          <c:w val="0.90653593643260344"/>
          <c:h val="0.85828456790123453"/>
        </c:manualLayout>
      </c:layout>
      <c:lineChart>
        <c:grouping val="standard"/>
        <c:varyColors val="1"/>
        <c:ser>
          <c:idx val="0"/>
          <c:order val="0"/>
          <c:tx>
            <c:strRef>
              <c:f>Данные!$B$1</c:f>
              <c:strCache>
                <c:ptCount val="1"/>
                <c:pt idx="0">
                  <c:v>Время, N=10 000 000</c:v>
                </c:pt>
              </c:strCache>
            </c:strRef>
          </c:tx>
          <c:spPr>
            <a:ln w="30000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Данные!$B$2:$B$8</c:f>
              <c:numCache>
                <c:formatCode>General</c:formatCode>
                <c:ptCount val="7"/>
                <c:pt idx="0">
                  <c:v>7.1205000000000004E-2</c:v>
                </c:pt>
                <c:pt idx="1">
                  <c:v>3.5886000000000001E-2</c:v>
                </c:pt>
                <c:pt idx="2">
                  <c:v>1.8141000000000001E-2</c:v>
                </c:pt>
                <c:pt idx="3">
                  <c:v>1.5261E-2</c:v>
                </c:pt>
                <c:pt idx="4">
                  <c:v>1.0598E-2</c:v>
                </c:pt>
                <c:pt idx="5">
                  <c:v>1.0201E-2</c:v>
                </c:pt>
                <c:pt idx="6">
                  <c:v>1.0305999999999999E-2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34-472F-B09E-EA41DAFD7B18}"/>
            </c:ext>
          </c:extLst>
        </c:ser>
        <c:ser>
          <c:idx val="1"/>
          <c:order val="1"/>
          <c:tx>
            <c:strRef>
              <c:f>Данные!$C$1</c:f>
              <c:strCache>
                <c:ptCount val="1"/>
                <c:pt idx="0">
                  <c:v>Время, N=100 000 000</c:v>
                </c:pt>
              </c:strCache>
            </c:strRef>
          </c:tx>
          <c:spPr>
            <a:ln w="30000">
              <a:solidFill>
                <a:srgbClr val="2E7D32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Данные!$C$2:$C$8</c:f>
              <c:numCache>
                <c:formatCode>General</c:formatCode>
                <c:ptCount val="7"/>
                <c:pt idx="0">
                  <c:v>0.71538500000000005</c:v>
                </c:pt>
                <c:pt idx="1">
                  <c:v>0.37441999999999998</c:v>
                </c:pt>
                <c:pt idx="2">
                  <c:v>0.18510399999999999</c:v>
                </c:pt>
                <c:pt idx="3">
                  <c:v>0.133414</c:v>
                </c:pt>
                <c:pt idx="4">
                  <c:v>9.4721E-2</c:v>
                </c:pt>
                <c:pt idx="5">
                  <c:v>0.103792</c:v>
                </c:pt>
                <c:pt idx="6">
                  <c:v>0.11219800000000001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34-472F-B09E-EA41DAFD7B18}"/>
            </c:ext>
          </c:extLst>
        </c:ser>
        <c:ser>
          <c:idx val="2"/>
          <c:order val="2"/>
          <c:tx>
            <c:strRef>
              <c:f>Данные!$D$1</c:f>
              <c:strCache>
                <c:ptCount val="1"/>
                <c:pt idx="0">
                  <c:v>Время, N=1 000 000 000</c:v>
                </c:pt>
              </c:strCache>
            </c:strRef>
          </c:tx>
          <c:spPr>
            <a:ln w="30000">
              <a:solidFill>
                <a:srgbClr val="1F4E79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Данные!$D$2:$D$8</c:f>
              <c:numCache>
                <c:formatCode>General</c:formatCode>
                <c:ptCount val="7"/>
                <c:pt idx="0">
                  <c:v>7.0784019999999996</c:v>
                </c:pt>
                <c:pt idx="1">
                  <c:v>3.5392839999999999</c:v>
                </c:pt>
                <c:pt idx="2">
                  <c:v>1.8101860000000001</c:v>
                </c:pt>
                <c:pt idx="3">
                  <c:v>1.2392129999999999</c:v>
                </c:pt>
                <c:pt idx="4">
                  <c:v>0.92358300000000004</c:v>
                </c:pt>
                <c:pt idx="5">
                  <c:v>0.97125300000000003</c:v>
                </c:pt>
                <c:pt idx="6">
                  <c:v>0.92532599999999998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34-472F-B09E-EA41DAFD7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потоков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Время, с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005472261172834"/>
          <c:y val="0.37016049382716049"/>
          <c:w val="0.23898637327868263"/>
          <c:h val="0.2126416666666666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ru-RU"/>
              <a:t>Ускорение от количества потоков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2353362991429776E-2"/>
          <c:y val="4.3519135802469133E-2"/>
          <c:w val="0.90819482445330935"/>
          <c:h val="0.85828456790123453"/>
        </c:manualLayout>
      </c:layout>
      <c:lineChart>
        <c:grouping val="standard"/>
        <c:varyColors val="1"/>
        <c:ser>
          <c:idx val="0"/>
          <c:order val="0"/>
          <c:tx>
            <c:strRef>
              <c:f>Данные!$E$1</c:f>
              <c:strCache>
                <c:ptCount val="1"/>
                <c:pt idx="0">
                  <c:v>Ускорение, N=10 000 000</c:v>
                </c:pt>
              </c:strCache>
            </c:strRef>
          </c:tx>
          <c:spPr>
            <a:ln w="30000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Данные!$E$2:$E$8</c:f>
              <c:numCache>
                <c:formatCode>General</c:formatCode>
                <c:ptCount val="7"/>
                <c:pt idx="0">
                  <c:v>1</c:v>
                </c:pt>
                <c:pt idx="1">
                  <c:v>1.984</c:v>
                </c:pt>
                <c:pt idx="2">
                  <c:v>3.9249999999999998</c:v>
                </c:pt>
                <c:pt idx="3">
                  <c:v>4.6660000000000004</c:v>
                </c:pt>
                <c:pt idx="4">
                  <c:v>6.7190000000000003</c:v>
                </c:pt>
                <c:pt idx="5">
                  <c:v>6.98</c:v>
                </c:pt>
                <c:pt idx="6">
                  <c:v>6.9089999999999998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95-4957-A71E-173C54230436}"/>
            </c:ext>
          </c:extLst>
        </c:ser>
        <c:ser>
          <c:idx val="1"/>
          <c:order val="1"/>
          <c:tx>
            <c:strRef>
              <c:f>Данные!$F$1</c:f>
              <c:strCache>
                <c:ptCount val="1"/>
                <c:pt idx="0">
                  <c:v>Ускорение, N=100 000 000</c:v>
                </c:pt>
              </c:strCache>
            </c:strRef>
          </c:tx>
          <c:spPr>
            <a:ln w="30000">
              <a:solidFill>
                <a:srgbClr val="2E7D32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Данные!$F$2:$F$8</c:f>
              <c:numCache>
                <c:formatCode>General</c:formatCode>
                <c:ptCount val="7"/>
                <c:pt idx="0">
                  <c:v>1</c:v>
                </c:pt>
                <c:pt idx="1">
                  <c:v>1.911</c:v>
                </c:pt>
                <c:pt idx="2">
                  <c:v>3.8650000000000002</c:v>
                </c:pt>
                <c:pt idx="3">
                  <c:v>5.3620000000000001</c:v>
                </c:pt>
                <c:pt idx="4">
                  <c:v>7.5529999999999999</c:v>
                </c:pt>
                <c:pt idx="5">
                  <c:v>6.8920000000000003</c:v>
                </c:pt>
                <c:pt idx="6">
                  <c:v>6.3760000000000003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95-4957-A71E-173C54230436}"/>
            </c:ext>
          </c:extLst>
        </c:ser>
        <c:ser>
          <c:idx val="2"/>
          <c:order val="2"/>
          <c:tx>
            <c:strRef>
              <c:f>Данные!$G$1</c:f>
              <c:strCache>
                <c:ptCount val="1"/>
                <c:pt idx="0">
                  <c:v>Ускорение, N=1 000 000 000</c:v>
                </c:pt>
              </c:strCache>
            </c:strRef>
          </c:tx>
          <c:spPr>
            <a:ln w="30000">
              <a:solidFill>
                <a:srgbClr val="1F4E79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Данные!$G$2:$G$8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3.91</c:v>
                </c:pt>
                <c:pt idx="3">
                  <c:v>5.7119999999999997</c:v>
                </c:pt>
                <c:pt idx="4">
                  <c:v>7.6639999999999997</c:v>
                </c:pt>
                <c:pt idx="5">
                  <c:v>7.2880000000000003</c:v>
                </c:pt>
                <c:pt idx="6">
                  <c:v>7.65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395-4957-A71E-173C54230436}"/>
            </c:ext>
          </c:extLst>
        </c:ser>
        <c:ser>
          <c:idx val="3"/>
          <c:order val="3"/>
          <c:tx>
            <c:strRef>
              <c:f>Данные!$K$1</c:f>
              <c:strCache>
                <c:ptCount val="1"/>
                <c:pt idx="0">
                  <c:v>Идеальное ускорение</c:v>
                </c:pt>
              </c:strCache>
            </c:strRef>
          </c:tx>
          <c:spPr>
            <a:ln w="20000">
              <a:solidFill>
                <a:srgbClr val="808080"/>
              </a:solidFill>
              <a:prstDash val="dash"/>
            </a:ln>
          </c:spPr>
          <c:marker>
            <c:symbol val="none"/>
          </c:marker>
          <c:val>
            <c:numRef>
              <c:f>Данные!$K$2:$K$8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395-4957-A71E-173C54230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потоков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Ускорение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309453692293768"/>
          <c:y val="0.18185000000000001"/>
          <c:w val="0.27682588748024534"/>
          <c:h val="0.283522222222222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ru-RU"/>
              <a:t>Эффективность от количества потоков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8612202641486689E-2"/>
          <c:y val="4.3519135802469133E-2"/>
          <c:w val="0.90216542686734258"/>
          <c:h val="0.85828456790123453"/>
        </c:manualLayout>
      </c:layout>
      <c:lineChart>
        <c:grouping val="standard"/>
        <c:varyColors val="1"/>
        <c:ser>
          <c:idx val="0"/>
          <c:order val="0"/>
          <c:tx>
            <c:strRef>
              <c:f>Данные!$H$1</c:f>
              <c:strCache>
                <c:ptCount val="1"/>
                <c:pt idx="0">
                  <c:v>Эффективность, N=10 000 000</c:v>
                </c:pt>
              </c:strCache>
            </c:strRef>
          </c:tx>
          <c:spPr>
            <a:ln w="30000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Данные!$H$2:$H$8</c:f>
              <c:numCache>
                <c:formatCode>General</c:formatCode>
                <c:ptCount val="7"/>
                <c:pt idx="0">
                  <c:v>100</c:v>
                </c:pt>
                <c:pt idx="1">
                  <c:v>99.21</c:v>
                </c:pt>
                <c:pt idx="2">
                  <c:v>98.13</c:v>
                </c:pt>
                <c:pt idx="3">
                  <c:v>58.32</c:v>
                </c:pt>
                <c:pt idx="4">
                  <c:v>41.99</c:v>
                </c:pt>
                <c:pt idx="5">
                  <c:v>21.81</c:v>
                </c:pt>
                <c:pt idx="6">
                  <c:v>10.8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88-4ED4-8C4D-CD532E33DF3F}"/>
            </c:ext>
          </c:extLst>
        </c:ser>
        <c:ser>
          <c:idx val="1"/>
          <c:order val="1"/>
          <c:tx>
            <c:strRef>
              <c:f>Данные!$I$1</c:f>
              <c:strCache>
                <c:ptCount val="1"/>
                <c:pt idx="0">
                  <c:v>Эффективность, N=100 000 000</c:v>
                </c:pt>
              </c:strCache>
            </c:strRef>
          </c:tx>
          <c:spPr>
            <a:ln w="30000">
              <a:solidFill>
                <a:srgbClr val="2E7D32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Данные!$I$2:$I$8</c:f>
              <c:numCache>
                <c:formatCode>General</c:formatCode>
                <c:ptCount val="7"/>
                <c:pt idx="0">
                  <c:v>100</c:v>
                </c:pt>
                <c:pt idx="1">
                  <c:v>95.53</c:v>
                </c:pt>
                <c:pt idx="2">
                  <c:v>96.62</c:v>
                </c:pt>
                <c:pt idx="3">
                  <c:v>67.03</c:v>
                </c:pt>
                <c:pt idx="4">
                  <c:v>47.2</c:v>
                </c:pt>
                <c:pt idx="5">
                  <c:v>21.54</c:v>
                </c:pt>
                <c:pt idx="6">
                  <c:v>9.9600000000000009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88-4ED4-8C4D-CD532E33DF3F}"/>
            </c:ext>
          </c:extLst>
        </c:ser>
        <c:ser>
          <c:idx val="2"/>
          <c:order val="2"/>
          <c:tx>
            <c:strRef>
              <c:f>Данные!$J$1</c:f>
              <c:strCache>
                <c:ptCount val="1"/>
                <c:pt idx="0">
                  <c:v>Эффективность, N=1 000 000 000</c:v>
                </c:pt>
              </c:strCache>
            </c:strRef>
          </c:tx>
          <c:spPr>
            <a:ln w="30000">
              <a:solidFill>
                <a:srgbClr val="1F4E79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Данные!$A$2:$A$8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Данные!$J$2:$J$8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97.76</c:v>
                </c:pt>
                <c:pt idx="3">
                  <c:v>71.400000000000006</c:v>
                </c:pt>
                <c:pt idx="4">
                  <c:v>47.9</c:v>
                </c:pt>
                <c:pt idx="5">
                  <c:v>22.77</c:v>
                </c:pt>
                <c:pt idx="6">
                  <c:v>11.95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488-4ED4-8C4D-CD532E33DF3F}"/>
            </c:ext>
          </c:extLst>
        </c:ser>
        <c:ser>
          <c:idx val="3"/>
          <c:order val="3"/>
          <c:tx>
            <c:strRef>
              <c:f>Данные!$L$1</c:f>
              <c:strCache>
                <c:ptCount val="1"/>
                <c:pt idx="0">
                  <c:v>Идеальная эффективность, %</c:v>
                </c:pt>
              </c:strCache>
            </c:strRef>
          </c:tx>
          <c:spPr>
            <a:ln w="38100">
              <a:solidFill>
                <a:srgbClr val="808080"/>
              </a:solidFill>
              <a:prstDash val="dash"/>
            </a:ln>
          </c:spPr>
          <c:marker>
            <c:symbol val="none"/>
          </c:marker>
          <c:val>
            <c:numRef>
              <c:f>Данные!$L$2:$L$8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488-4ED4-8C4D-CD532E33D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потоков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Эффективность, %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2586263311525964"/>
          <c:y val="0.46547711197117309"/>
          <c:w val="0.30795118150843737"/>
          <c:h val="0.2724356065661283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95325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718185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7267574" cy="33718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sqref="A1:XFD1048576"/>
    </sheetView>
  </sheetViews>
  <sheetFormatPr defaultRowHeight="15" x14ac:dyDescent="0.25"/>
  <cols>
    <col min="1" max="1" width="14" customWidth="1"/>
    <col min="2" max="2" width="10" customWidth="1"/>
    <col min="3" max="3" width="20" customWidth="1"/>
    <col min="4" max="4" width="16" customWidth="1"/>
    <col min="5" max="5" width="12" customWidth="1"/>
    <col min="6" max="6" width="18" customWidth="1"/>
    <col min="7" max="7" width="14" customWidth="1"/>
  </cols>
  <sheetData>
    <row r="1" spans="1:7" ht="15.75" x14ac:dyDescent="0.25">
      <c r="A1" s="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>
        <v>10000000</v>
      </c>
      <c r="B4" s="4" t="s">
        <v>8</v>
      </c>
      <c r="C4" s="5">
        <v>8.3992999999999998E-2</v>
      </c>
      <c r="D4" s="5">
        <v>7.4518000000000001E-2</v>
      </c>
      <c r="E4" s="6"/>
      <c r="F4" s="7"/>
      <c r="G4" s="4" t="s">
        <v>9</v>
      </c>
    </row>
    <row r="5" spans="1:7" x14ac:dyDescent="0.25">
      <c r="A5" s="3">
        <v>10000000</v>
      </c>
      <c r="B5" s="4">
        <v>1</v>
      </c>
      <c r="C5" s="5">
        <v>7.1205000000000004E-2</v>
      </c>
      <c r="D5" s="5">
        <v>7.0924000000000001E-2</v>
      </c>
      <c r="E5" s="6">
        <v>1</v>
      </c>
      <c r="F5" s="7">
        <v>100</v>
      </c>
      <c r="G5" s="4" t="s">
        <v>9</v>
      </c>
    </row>
    <row r="6" spans="1:7" x14ac:dyDescent="0.25">
      <c r="A6" s="3">
        <v>10000000</v>
      </c>
      <c r="B6" s="4">
        <v>2</v>
      </c>
      <c r="C6" s="5">
        <v>3.5886000000000001E-2</v>
      </c>
      <c r="D6" s="5">
        <v>3.5740000000000001E-2</v>
      </c>
      <c r="E6" s="6">
        <v>1.984</v>
      </c>
      <c r="F6" s="7">
        <v>99.21</v>
      </c>
      <c r="G6" s="4" t="s">
        <v>9</v>
      </c>
    </row>
    <row r="7" spans="1:7" x14ac:dyDescent="0.25">
      <c r="A7" s="3">
        <v>10000000</v>
      </c>
      <c r="B7" s="4">
        <v>4</v>
      </c>
      <c r="C7" s="5">
        <v>1.8141000000000001E-2</v>
      </c>
      <c r="D7" s="5">
        <v>1.8020999999999999E-2</v>
      </c>
      <c r="E7" s="6">
        <v>3.9249999999999998</v>
      </c>
      <c r="F7" s="7">
        <v>98.13</v>
      </c>
      <c r="G7" s="4" t="s">
        <v>9</v>
      </c>
    </row>
    <row r="8" spans="1:7" x14ac:dyDescent="0.25">
      <c r="A8" s="3">
        <v>10000000</v>
      </c>
      <c r="B8" s="4">
        <v>8</v>
      </c>
      <c r="C8" s="5">
        <v>1.5261E-2</v>
      </c>
      <c r="D8" s="5">
        <v>1.3445E-2</v>
      </c>
      <c r="E8" s="6">
        <v>4.6660000000000004</v>
      </c>
      <c r="F8" s="7">
        <v>58.32</v>
      </c>
      <c r="G8" s="4" t="s">
        <v>9</v>
      </c>
    </row>
    <row r="9" spans="1:7" x14ac:dyDescent="0.25">
      <c r="A9" s="3">
        <v>10000000</v>
      </c>
      <c r="B9" s="4">
        <v>16</v>
      </c>
      <c r="C9" s="5">
        <v>1.0598E-2</v>
      </c>
      <c r="D9" s="5">
        <v>9.4020000000000006E-3</v>
      </c>
      <c r="E9" s="6">
        <v>6.7190000000000003</v>
      </c>
      <c r="F9" s="7">
        <v>41.99</v>
      </c>
      <c r="G9" s="4" t="s">
        <v>9</v>
      </c>
    </row>
    <row r="10" spans="1:7" x14ac:dyDescent="0.25">
      <c r="A10" s="3">
        <v>10000000</v>
      </c>
      <c r="B10" s="4">
        <v>32</v>
      </c>
      <c r="C10" s="5">
        <v>1.0201E-2</v>
      </c>
      <c r="D10" s="5">
        <v>9.7689999999999999E-3</v>
      </c>
      <c r="E10" s="6">
        <v>6.98</v>
      </c>
      <c r="F10" s="7">
        <v>21.81</v>
      </c>
      <c r="G10" s="4" t="s">
        <v>9</v>
      </c>
    </row>
    <row r="11" spans="1:7" x14ac:dyDescent="0.25">
      <c r="A11" s="3">
        <v>10000000</v>
      </c>
      <c r="B11" s="4">
        <v>64</v>
      </c>
      <c r="C11" s="5">
        <v>1.0305999999999999E-2</v>
      </c>
      <c r="D11" s="5">
        <v>1.0234999999999999E-2</v>
      </c>
      <c r="E11" s="6">
        <v>6.9089999999999998</v>
      </c>
      <c r="F11" s="7">
        <v>10.8</v>
      </c>
      <c r="G11" s="4" t="s">
        <v>9</v>
      </c>
    </row>
    <row r="12" spans="1:7" x14ac:dyDescent="0.25">
      <c r="A12" s="3">
        <v>100000000</v>
      </c>
      <c r="B12" s="4" t="s">
        <v>8</v>
      </c>
      <c r="C12" s="5">
        <v>0.71390500000000001</v>
      </c>
      <c r="D12" s="5">
        <v>0.71269099999999996</v>
      </c>
      <c r="E12" s="6"/>
      <c r="F12" s="7"/>
      <c r="G12" s="4" t="s">
        <v>9</v>
      </c>
    </row>
    <row r="13" spans="1:7" x14ac:dyDescent="0.25">
      <c r="A13" s="3">
        <v>100000000</v>
      </c>
      <c r="B13" s="4">
        <v>1</v>
      </c>
      <c r="C13" s="5">
        <v>0.71538500000000005</v>
      </c>
      <c r="D13" s="5">
        <v>0.71050500000000005</v>
      </c>
      <c r="E13" s="6">
        <v>1</v>
      </c>
      <c r="F13" s="7">
        <v>100</v>
      </c>
      <c r="G13" s="4" t="s">
        <v>9</v>
      </c>
    </row>
    <row r="14" spans="1:7" x14ac:dyDescent="0.25">
      <c r="A14" s="3">
        <v>100000000</v>
      </c>
      <c r="B14" s="4">
        <v>2</v>
      </c>
      <c r="C14" s="5">
        <v>0.37441999999999998</v>
      </c>
      <c r="D14" s="5">
        <v>0.35691600000000001</v>
      </c>
      <c r="E14" s="6">
        <v>1.911</v>
      </c>
      <c r="F14" s="7">
        <v>95.53</v>
      </c>
      <c r="G14" s="4" t="s">
        <v>9</v>
      </c>
    </row>
    <row r="15" spans="1:7" x14ac:dyDescent="0.25">
      <c r="A15" s="3">
        <v>100000000</v>
      </c>
      <c r="B15" s="4">
        <v>4</v>
      </c>
      <c r="C15" s="5">
        <v>0.18510399999999999</v>
      </c>
      <c r="D15" s="5">
        <v>0.17874999999999999</v>
      </c>
      <c r="E15" s="6">
        <v>3.8650000000000002</v>
      </c>
      <c r="F15" s="7">
        <v>96.62</v>
      </c>
      <c r="G15" s="4" t="s">
        <v>9</v>
      </c>
    </row>
    <row r="16" spans="1:7" x14ac:dyDescent="0.25">
      <c r="A16" s="3">
        <v>100000000</v>
      </c>
      <c r="B16" s="4">
        <v>8</v>
      </c>
      <c r="C16" s="5">
        <v>0.133414</v>
      </c>
      <c r="D16" s="5">
        <v>0.125474</v>
      </c>
      <c r="E16" s="6">
        <v>5.3620000000000001</v>
      </c>
      <c r="F16" s="7">
        <v>67.03</v>
      </c>
      <c r="G16" s="4" t="s">
        <v>9</v>
      </c>
    </row>
    <row r="17" spans="1:7" x14ac:dyDescent="0.25">
      <c r="A17" s="3">
        <v>100000000</v>
      </c>
      <c r="B17" s="4">
        <v>16</v>
      </c>
      <c r="C17" s="5">
        <v>9.4721E-2</v>
      </c>
      <c r="D17" s="5">
        <v>9.2483999999999997E-2</v>
      </c>
      <c r="E17" s="6">
        <v>7.5529999999999999</v>
      </c>
      <c r="F17" s="7">
        <v>47.2</v>
      </c>
      <c r="G17" s="4" t="s">
        <v>9</v>
      </c>
    </row>
    <row r="18" spans="1:7" x14ac:dyDescent="0.25">
      <c r="A18" s="3">
        <v>100000000</v>
      </c>
      <c r="B18" s="4">
        <v>32</v>
      </c>
      <c r="C18" s="5">
        <v>0.103792</v>
      </c>
      <c r="D18" s="5">
        <v>9.4142000000000003E-2</v>
      </c>
      <c r="E18" s="6">
        <v>6.8920000000000003</v>
      </c>
      <c r="F18" s="7">
        <v>21.54</v>
      </c>
      <c r="G18" s="4" t="s">
        <v>9</v>
      </c>
    </row>
    <row r="19" spans="1:7" x14ac:dyDescent="0.25">
      <c r="A19" s="3">
        <v>100000000</v>
      </c>
      <c r="B19" s="4">
        <v>64</v>
      </c>
      <c r="C19" s="5">
        <v>0.11219800000000001</v>
      </c>
      <c r="D19" s="5">
        <v>9.4899999999999998E-2</v>
      </c>
      <c r="E19" s="6">
        <v>6.3760000000000003</v>
      </c>
      <c r="F19" s="7">
        <v>9.9600000000000009</v>
      </c>
      <c r="G19" s="4" t="s">
        <v>9</v>
      </c>
    </row>
    <row r="20" spans="1:7" x14ac:dyDescent="0.25">
      <c r="A20" s="3">
        <v>1000000000</v>
      </c>
      <c r="B20" s="4" t="s">
        <v>8</v>
      </c>
      <c r="C20" s="5">
        <v>7.121823</v>
      </c>
      <c r="D20" s="5">
        <v>7.1213160000000002</v>
      </c>
      <c r="E20" s="6"/>
      <c r="F20" s="7"/>
      <c r="G20" s="4" t="s">
        <v>9</v>
      </c>
    </row>
    <row r="21" spans="1:7" x14ac:dyDescent="0.25">
      <c r="A21" s="3">
        <v>1000000000</v>
      </c>
      <c r="B21" s="4">
        <v>1</v>
      </c>
      <c r="C21" s="5">
        <v>7.0784019999999996</v>
      </c>
      <c r="D21" s="5">
        <v>7.0694030000000003</v>
      </c>
      <c r="E21" s="6">
        <v>1</v>
      </c>
      <c r="F21" s="7">
        <v>100</v>
      </c>
      <c r="G21" s="4" t="s">
        <v>9</v>
      </c>
    </row>
    <row r="22" spans="1:7" x14ac:dyDescent="0.25">
      <c r="A22" s="3">
        <v>1000000000</v>
      </c>
      <c r="B22" s="4">
        <v>2</v>
      </c>
      <c r="C22" s="5">
        <v>3.5392839999999999</v>
      </c>
      <c r="D22" s="5">
        <v>3.5385409999999999</v>
      </c>
      <c r="E22" s="6">
        <v>2</v>
      </c>
      <c r="F22" s="7">
        <v>100</v>
      </c>
      <c r="G22" s="4" t="s">
        <v>9</v>
      </c>
    </row>
    <row r="23" spans="1:7" x14ac:dyDescent="0.25">
      <c r="A23" s="3">
        <v>1000000000</v>
      </c>
      <c r="B23" s="4">
        <v>4</v>
      </c>
      <c r="C23" s="5">
        <v>1.8101860000000001</v>
      </c>
      <c r="D23" s="5">
        <v>1.7834110000000001</v>
      </c>
      <c r="E23" s="6">
        <v>3.91</v>
      </c>
      <c r="F23" s="7">
        <v>97.76</v>
      </c>
      <c r="G23" s="4" t="s">
        <v>9</v>
      </c>
    </row>
    <row r="24" spans="1:7" x14ac:dyDescent="0.25">
      <c r="A24" s="3">
        <v>1000000000</v>
      </c>
      <c r="B24" s="4">
        <v>8</v>
      </c>
      <c r="C24" s="5">
        <v>1.2392129999999999</v>
      </c>
      <c r="D24" s="5">
        <v>1.201255</v>
      </c>
      <c r="E24" s="6">
        <v>5.7119999999999997</v>
      </c>
      <c r="F24" s="7">
        <v>71.400000000000006</v>
      </c>
      <c r="G24" s="4" t="s">
        <v>9</v>
      </c>
    </row>
    <row r="25" spans="1:7" x14ac:dyDescent="0.25">
      <c r="A25" s="3">
        <v>1000000000</v>
      </c>
      <c r="B25" s="4">
        <v>16</v>
      </c>
      <c r="C25" s="5">
        <v>0.92358300000000004</v>
      </c>
      <c r="D25" s="5">
        <v>0.91269900000000004</v>
      </c>
      <c r="E25" s="6">
        <v>7.6639999999999997</v>
      </c>
      <c r="F25" s="7">
        <v>47.9</v>
      </c>
      <c r="G25" s="4" t="s">
        <v>9</v>
      </c>
    </row>
    <row r="26" spans="1:7" x14ac:dyDescent="0.25">
      <c r="A26" s="3">
        <v>1000000000</v>
      </c>
      <c r="B26" s="4">
        <v>32</v>
      </c>
      <c r="C26" s="5">
        <v>0.97125300000000003</v>
      </c>
      <c r="D26" s="5">
        <v>0.92940699999999998</v>
      </c>
      <c r="E26" s="6">
        <v>7.2880000000000003</v>
      </c>
      <c r="F26" s="7">
        <v>22.77</v>
      </c>
      <c r="G26" s="4" t="s">
        <v>9</v>
      </c>
    </row>
    <row r="27" spans="1:7" x14ac:dyDescent="0.25">
      <c r="A27" s="3">
        <v>1000000000</v>
      </c>
      <c r="B27" s="4">
        <v>64</v>
      </c>
      <c r="C27" s="5">
        <v>0.92532599999999998</v>
      </c>
      <c r="D27" s="5">
        <v>0.91577799999999998</v>
      </c>
      <c r="E27" s="6">
        <v>7.65</v>
      </c>
      <c r="F27" s="7">
        <v>11.95</v>
      </c>
      <c r="G27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sqref="A1:L8"/>
    </sheetView>
  </sheetViews>
  <sheetFormatPr defaultRowHeight="15" x14ac:dyDescent="0.25"/>
  <cols>
    <col min="1" max="1" width="10" customWidth="1"/>
    <col min="2" max="12" width="18" customWidth="1"/>
  </cols>
  <sheetData>
    <row r="1" spans="1:12" ht="30" x14ac:dyDescent="0.25">
      <c r="A1" s="8" t="s">
        <v>2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</row>
    <row r="2" spans="1:12" x14ac:dyDescent="0.25">
      <c r="A2" s="9">
        <v>1</v>
      </c>
      <c r="B2">
        <v>7.1205000000000004E-2</v>
      </c>
      <c r="C2">
        <v>0.71538500000000005</v>
      </c>
      <c r="D2">
        <v>7.0784019999999996</v>
      </c>
      <c r="E2">
        <v>1</v>
      </c>
      <c r="F2">
        <v>1</v>
      </c>
      <c r="G2">
        <v>1</v>
      </c>
      <c r="H2">
        <v>100</v>
      </c>
      <c r="I2">
        <v>100</v>
      </c>
      <c r="J2">
        <v>100</v>
      </c>
      <c r="K2">
        <v>1</v>
      </c>
      <c r="L2">
        <v>100</v>
      </c>
    </row>
    <row r="3" spans="1:12" x14ac:dyDescent="0.25">
      <c r="A3" s="9">
        <v>2</v>
      </c>
      <c r="B3">
        <v>3.5886000000000001E-2</v>
      </c>
      <c r="C3">
        <v>0.37441999999999998</v>
      </c>
      <c r="D3">
        <v>3.5392839999999999</v>
      </c>
      <c r="E3">
        <v>1.984</v>
      </c>
      <c r="F3">
        <v>1.911</v>
      </c>
      <c r="G3">
        <v>2</v>
      </c>
      <c r="H3">
        <v>99.21</v>
      </c>
      <c r="I3">
        <v>95.53</v>
      </c>
      <c r="J3">
        <v>100</v>
      </c>
      <c r="K3">
        <v>2</v>
      </c>
      <c r="L3">
        <v>100</v>
      </c>
    </row>
    <row r="4" spans="1:12" x14ac:dyDescent="0.25">
      <c r="A4" s="9">
        <v>4</v>
      </c>
      <c r="B4">
        <v>1.8141000000000001E-2</v>
      </c>
      <c r="C4">
        <v>0.18510399999999999</v>
      </c>
      <c r="D4">
        <v>1.8101860000000001</v>
      </c>
      <c r="E4">
        <v>3.9249999999999998</v>
      </c>
      <c r="F4">
        <v>3.8650000000000002</v>
      </c>
      <c r="G4">
        <v>3.91</v>
      </c>
      <c r="H4">
        <v>98.13</v>
      </c>
      <c r="I4">
        <v>96.62</v>
      </c>
      <c r="J4">
        <v>97.76</v>
      </c>
      <c r="K4">
        <v>4</v>
      </c>
      <c r="L4">
        <v>100</v>
      </c>
    </row>
    <row r="5" spans="1:12" x14ac:dyDescent="0.25">
      <c r="A5" s="9">
        <v>8</v>
      </c>
      <c r="B5">
        <v>1.5261E-2</v>
      </c>
      <c r="C5">
        <v>0.133414</v>
      </c>
      <c r="D5">
        <v>1.2392129999999999</v>
      </c>
      <c r="E5">
        <v>4.6660000000000004</v>
      </c>
      <c r="F5">
        <v>5.3620000000000001</v>
      </c>
      <c r="G5">
        <v>5.7119999999999997</v>
      </c>
      <c r="H5">
        <v>58.32</v>
      </c>
      <c r="I5">
        <v>67.03</v>
      </c>
      <c r="J5">
        <v>71.400000000000006</v>
      </c>
      <c r="K5">
        <v>8</v>
      </c>
      <c r="L5">
        <v>100</v>
      </c>
    </row>
    <row r="6" spans="1:12" x14ac:dyDescent="0.25">
      <c r="A6" s="9">
        <v>16</v>
      </c>
      <c r="B6">
        <v>1.0598E-2</v>
      </c>
      <c r="C6">
        <v>9.4721E-2</v>
      </c>
      <c r="D6">
        <v>0.92358300000000004</v>
      </c>
      <c r="E6">
        <v>6.7190000000000003</v>
      </c>
      <c r="F6">
        <v>7.5529999999999999</v>
      </c>
      <c r="G6">
        <v>7.6639999999999997</v>
      </c>
      <c r="H6">
        <v>41.99</v>
      </c>
      <c r="I6">
        <v>47.2</v>
      </c>
      <c r="J6">
        <v>47.9</v>
      </c>
      <c r="K6">
        <v>16</v>
      </c>
      <c r="L6">
        <v>100</v>
      </c>
    </row>
    <row r="7" spans="1:12" x14ac:dyDescent="0.25">
      <c r="A7" s="9">
        <v>32</v>
      </c>
      <c r="B7">
        <v>1.0201E-2</v>
      </c>
      <c r="C7">
        <v>0.103792</v>
      </c>
      <c r="D7">
        <v>0.97125300000000003</v>
      </c>
      <c r="E7">
        <v>6.98</v>
      </c>
      <c r="F7">
        <v>6.8920000000000003</v>
      </c>
      <c r="G7">
        <v>7.2880000000000003</v>
      </c>
      <c r="H7">
        <v>21.81</v>
      </c>
      <c r="I7">
        <v>21.54</v>
      </c>
      <c r="J7">
        <v>22.77</v>
      </c>
      <c r="K7">
        <v>32</v>
      </c>
      <c r="L7">
        <v>100</v>
      </c>
    </row>
    <row r="8" spans="1:12" x14ac:dyDescent="0.25">
      <c r="A8" s="9">
        <v>64</v>
      </c>
      <c r="B8">
        <v>1.0305999999999999E-2</v>
      </c>
      <c r="C8">
        <v>0.11219800000000001</v>
      </c>
      <c r="D8">
        <v>0.92532599999999998</v>
      </c>
      <c r="E8">
        <v>6.9089999999999998</v>
      </c>
      <c r="F8">
        <v>6.3760000000000003</v>
      </c>
      <c r="G8">
        <v>7.65</v>
      </c>
      <c r="H8">
        <v>10.8</v>
      </c>
      <c r="I8">
        <v>9.9600000000000009</v>
      </c>
      <c r="J8">
        <v>11.95</v>
      </c>
      <c r="K8">
        <v>64</v>
      </c>
      <c r="L8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43" workbookViewId="0">
      <selection activeCell="I59" sqref="A1:XFD1048576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" x14ac:dyDescent="0.25"/>
  <cols>
    <col min="1" max="1" width="52" customWidth="1"/>
    <col min="2" max="2" width="100" customWidth="1"/>
  </cols>
  <sheetData>
    <row r="1" spans="1:2" ht="18.75" x14ac:dyDescent="0.3">
      <c r="A1" s="10" t="s">
        <v>21</v>
      </c>
      <c r="B1" s="11"/>
    </row>
    <row r="2" spans="1:2" x14ac:dyDescent="0.25">
      <c r="A2" s="12" t="s">
        <v>22</v>
      </c>
      <c r="B2" s="11">
        <v>16</v>
      </c>
    </row>
    <row r="3" spans="1:2" x14ac:dyDescent="0.25">
      <c r="A3" s="12"/>
      <c r="B3" s="11"/>
    </row>
    <row r="4" spans="1:2" ht="30" x14ac:dyDescent="0.25">
      <c r="A4" s="12" t="s">
        <v>23</v>
      </c>
      <c r="B4" s="11" t="s">
        <v>24</v>
      </c>
    </row>
    <row r="5" spans="1:2" x14ac:dyDescent="0.25">
      <c r="A5" s="12" t="s">
        <v>25</v>
      </c>
      <c r="B5" s="11" t="s">
        <v>26</v>
      </c>
    </row>
    <row r="6" spans="1:2" ht="30" x14ac:dyDescent="0.25">
      <c r="A6" s="12" t="s">
        <v>27</v>
      </c>
      <c r="B6" s="11" t="s">
        <v>28</v>
      </c>
    </row>
    <row r="7" spans="1:2" ht="30" x14ac:dyDescent="0.25">
      <c r="A7" s="12" t="s">
        <v>29</v>
      </c>
      <c r="B7" s="11" t="s">
        <v>30</v>
      </c>
    </row>
    <row r="8" spans="1:2" x14ac:dyDescent="0.25">
      <c r="A8" s="12" t="s">
        <v>31</v>
      </c>
      <c r="B8" s="11" t="s">
        <v>32</v>
      </c>
    </row>
    <row r="9" spans="1:2" ht="30" x14ac:dyDescent="0.25">
      <c r="A9" s="12" t="s">
        <v>33</v>
      </c>
      <c r="B9" s="11" t="s">
        <v>34</v>
      </c>
    </row>
    <row r="10" spans="1:2" ht="30" x14ac:dyDescent="0.25">
      <c r="A10" s="12" t="s">
        <v>35</v>
      </c>
      <c r="B10" s="1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Результаты</vt:lpstr>
      <vt:lpstr>Данные</vt:lpstr>
      <vt:lpstr>Графики</vt:lpstr>
      <vt:lpstr>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Федорищев</cp:lastModifiedBy>
  <dcterms:created xsi:type="dcterms:W3CDTF">2026-09-30T13:03:32Z</dcterms:created>
  <dcterms:modified xsi:type="dcterms:W3CDTF">2026-09-30T13:13:16Z</dcterms:modified>
</cp:coreProperties>
</file>